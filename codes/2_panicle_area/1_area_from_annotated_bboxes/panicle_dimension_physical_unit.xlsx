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GitHub\DL_for_Sorghum_Yield_Prediction\codes\2_panicle_area\1_area_from_annotated_bboxes\"/>
    </mc:Choice>
  </mc:AlternateContent>
  <xr:revisionPtr revIDLastSave="0" documentId="13_ncr:1_{83A3CECF-74AF-4912-B6A5-79C0CD6BC97F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2" i="1"/>
  <c r="J3" i="1"/>
  <c r="J4" i="1"/>
  <c r="J5" i="1"/>
  <c r="J6" i="1"/>
  <c r="J7" i="1"/>
  <c r="J8" i="1"/>
  <c r="J9" i="1"/>
  <c r="J10" i="1"/>
  <c r="J11" i="1"/>
  <c r="J12" i="1"/>
  <c r="J13" i="1"/>
  <c r="J2" i="1"/>
  <c r="I3" i="1"/>
  <c r="I4" i="1"/>
  <c r="I5" i="1"/>
  <c r="I6" i="1"/>
  <c r="I7" i="1"/>
  <c r="I8" i="1"/>
  <c r="I9" i="1"/>
  <c r="I10" i="1"/>
  <c r="I11" i="1"/>
  <c r="I12" i="1"/>
  <c r="I13" i="1"/>
  <c r="I2" i="1"/>
  <c r="H3" i="1"/>
  <c r="H4" i="1"/>
  <c r="H5" i="1"/>
  <c r="H6" i="1"/>
  <c r="H7" i="1"/>
  <c r="H8" i="1"/>
  <c r="H9" i="1"/>
  <c r="H10" i="1"/>
  <c r="H11" i="1"/>
  <c r="H12" i="1"/>
  <c r="H13" i="1"/>
  <c r="H2" i="1"/>
  <c r="G3" i="1"/>
  <c r="G4" i="1"/>
  <c r="G5" i="1"/>
  <c r="G6" i="1"/>
  <c r="G7" i="1"/>
  <c r="G8" i="1"/>
  <c r="G9" i="1"/>
  <c r="G10" i="1"/>
  <c r="G11" i="1"/>
  <c r="G12" i="1"/>
  <c r="G13" i="1"/>
  <c r="G2" i="1"/>
</calcChain>
</file>

<file path=xl/sharedStrings.xml><?xml version="1.0" encoding="utf-8"?>
<sst xmlns="http://schemas.openxmlformats.org/spreadsheetml/2006/main" count="57" uniqueCount="40">
  <si>
    <t>id</t>
  </si>
  <si>
    <t>image_name</t>
  </si>
  <si>
    <t>rep</t>
  </si>
  <si>
    <t>height_pixels</t>
  </si>
  <si>
    <t>width_pixels</t>
  </si>
  <si>
    <t>2005-SC964</t>
  </si>
  <si>
    <t>1. P1-WOF-Fr.jpg</t>
  </si>
  <si>
    <t>1748.1481481481492</t>
  </si>
  <si>
    <t>670.3703703703704</t>
  </si>
  <si>
    <t>13. P4-WOF-Fr.jpg</t>
  </si>
  <si>
    <t>1881.4814814814813</t>
  </si>
  <si>
    <t>5. P2-WOF-Fr.jpg</t>
  </si>
  <si>
    <t>1737.037037037037</t>
  </si>
  <si>
    <t>655.5555555555557</t>
  </si>
  <si>
    <t>9. P3-WOF-Fr.jpg</t>
  </si>
  <si>
    <t>555.5555555555557</t>
  </si>
  <si>
    <t>2009-RTx430BL</t>
  </si>
  <si>
    <t>2414.8148148148143</t>
  </si>
  <si>
    <t>548.1481481481478</t>
  </si>
  <si>
    <t>2166.6666666666665</t>
  </si>
  <si>
    <t>414.8148148148148</t>
  </si>
  <si>
    <t>2207.4074074074074</t>
  </si>
  <si>
    <t>492.5925925925926</t>
  </si>
  <si>
    <t>2062.9629629629626</t>
  </si>
  <si>
    <t>411.11111111111086</t>
  </si>
  <si>
    <t>2013-Tx7000</t>
  </si>
  <si>
    <t>2237.037037037037</t>
  </si>
  <si>
    <t>651.8518518518517</t>
  </si>
  <si>
    <t>2251.8518518518517</t>
  </si>
  <si>
    <t>862.9629629629626</t>
  </si>
  <si>
    <t>2188.8888888888887</t>
  </si>
  <si>
    <t>759.2592592592591</t>
  </si>
  <si>
    <t>2148.1481481481483</t>
  </si>
  <si>
    <t>751.8518518518517</t>
  </si>
  <si>
    <t>pixels_per_inch</t>
  </si>
  <si>
    <t>height_inch</t>
  </si>
  <si>
    <t>width_inch</t>
  </si>
  <si>
    <t>height_cm</t>
  </si>
  <si>
    <t>width_cm</t>
  </si>
  <si>
    <t>B_Box_Pan_Area_cm2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</si>
</sst>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"/>
  <sheetViews>
    <sheetView tabSelected="1" workbookViewId="0">
      <selection activeCell="N9" sqref="N9"/>
    </sheetView>
  </sheetViews>
  <sheetFormatPr defaultRowHeight="15" x14ac:dyDescent="0.25"/>
  <cols>
    <col min="1" max="1" width="18.5703125" customWidth="1"/>
    <col min="2" max="2" width="15.42578125" customWidth="1"/>
    <col min="3" max="3" width="12" customWidth="1"/>
    <col min="4" max="4" width="21.7109375" customWidth="1"/>
    <col min="5" max="5" width="18.85546875" bestFit="1" customWidth="1"/>
    <col min="6" max="6" width="15.140625" style="1" bestFit="1" customWidth="1"/>
    <col min="7" max="7" width="14.85546875" customWidth="1"/>
    <col min="8" max="8" width="13" customWidth="1"/>
    <col min="9" max="9" width="15.28515625" customWidth="1"/>
    <col min="10" max="10" width="13.28515625" customWidth="1"/>
    <col min="11" max="11" width="20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</row>
    <row r="2" spans="1:11" x14ac:dyDescent="0.25">
      <c r="A2" t="s">
        <v>5</v>
      </c>
      <c r="B2" t="s">
        <v>6</v>
      </c>
      <c r="C2">
        <v>1</v>
      </c>
      <c r="D2" t="s">
        <v>7</v>
      </c>
      <c r="E2" t="s">
        <v>8</v>
      </c>
      <c r="F2" s="1">
        <v>245</v>
      </c>
      <c r="G2">
        <f>D2/F2</f>
        <v>7.1352985638699593</v>
      </c>
      <c r="H2">
        <f>E2/F2</f>
        <v>2.736205593348449</v>
      </c>
      <c r="I2">
        <f>G2*2.54</f>
        <v>18.123658352229697</v>
      </c>
      <c r="J2">
        <f>H2*2.54</f>
        <v>6.9499622071050604</v>
      </c>
      <c r="K2" s="2">
        <f>I2*J2</f>
        <v>125.95874060248036</v>
      </c>
    </row>
    <row r="3" spans="1:11" x14ac:dyDescent="0.25">
      <c r="A3" t="s">
        <v>5</v>
      </c>
      <c r="B3" t="s">
        <v>9</v>
      </c>
      <c r="C3">
        <v>2</v>
      </c>
      <c r="D3" t="s">
        <v>10</v>
      </c>
      <c r="E3">
        <v>700</v>
      </c>
      <c r="F3" s="1">
        <v>245</v>
      </c>
      <c r="G3">
        <f t="shared" ref="G3:G13" si="0">D3/F3</f>
        <v>7.6795162509448165</v>
      </c>
      <c r="H3">
        <f t="shared" ref="H3:H13" si="1">E3/F3</f>
        <v>2.8571428571428572</v>
      </c>
      <c r="I3">
        <f t="shared" ref="I3:I13" si="2">G3*2.54</f>
        <v>19.505971277399833</v>
      </c>
      <c r="J3">
        <f t="shared" ref="J3:J13" si="3">H3*2.54</f>
        <v>7.2571428571428571</v>
      </c>
      <c r="K3" s="2">
        <f t="shared" ref="K3:K13" si="4">I3*J3</f>
        <v>141.55762012741593</v>
      </c>
    </row>
    <row r="4" spans="1:11" x14ac:dyDescent="0.25">
      <c r="A4" t="s">
        <v>5</v>
      </c>
      <c r="B4" t="s">
        <v>11</v>
      </c>
      <c r="C4">
        <v>3</v>
      </c>
      <c r="D4" t="s">
        <v>12</v>
      </c>
      <c r="E4" t="s">
        <v>13</v>
      </c>
      <c r="F4" s="1">
        <v>245</v>
      </c>
      <c r="G4">
        <f t="shared" si="0"/>
        <v>7.0899470899470609</v>
      </c>
      <c r="H4">
        <f t="shared" si="1"/>
        <v>2.675736961451245</v>
      </c>
      <c r="I4">
        <f t="shared" si="2"/>
        <v>18.008465608465535</v>
      </c>
      <c r="J4">
        <f t="shared" si="3"/>
        <v>6.7963718820861621</v>
      </c>
      <c r="K4" s="2">
        <f t="shared" si="4"/>
        <v>122.39222930089083</v>
      </c>
    </row>
    <row r="5" spans="1:11" x14ac:dyDescent="0.25">
      <c r="A5" t="s">
        <v>5</v>
      </c>
      <c r="B5" t="s">
        <v>14</v>
      </c>
      <c r="C5">
        <v>4</v>
      </c>
      <c r="D5">
        <v>1970.37037037037</v>
      </c>
      <c r="E5" t="s">
        <v>15</v>
      </c>
      <c r="F5" s="1">
        <v>245</v>
      </c>
      <c r="G5">
        <f t="shared" si="0"/>
        <v>8.042328042328041</v>
      </c>
      <c r="H5">
        <f t="shared" si="1"/>
        <v>2.2675736961451225</v>
      </c>
      <c r="I5">
        <f t="shared" si="2"/>
        <v>20.427513227513224</v>
      </c>
      <c r="J5">
        <f t="shared" si="3"/>
        <v>5.759637188208611</v>
      </c>
      <c r="K5" s="2">
        <f t="shared" si="4"/>
        <v>117.65506484780848</v>
      </c>
    </row>
    <row r="6" spans="1:11" x14ac:dyDescent="0.25">
      <c r="A6" t="s">
        <v>16</v>
      </c>
      <c r="B6" t="s">
        <v>6</v>
      </c>
      <c r="C6">
        <v>1</v>
      </c>
      <c r="D6" t="s">
        <v>17</v>
      </c>
      <c r="E6" t="s">
        <v>18</v>
      </c>
      <c r="F6" s="1">
        <v>250</v>
      </c>
      <c r="G6">
        <f t="shared" si="0"/>
        <v>9.6592592592592386</v>
      </c>
      <c r="H6">
        <f t="shared" si="1"/>
        <v>2.1925925925925882</v>
      </c>
      <c r="I6">
        <f t="shared" si="2"/>
        <v>24.534518518518468</v>
      </c>
      <c r="J6">
        <f t="shared" si="3"/>
        <v>5.5691851851851739</v>
      </c>
      <c r="K6" s="2">
        <f t="shared" si="4"/>
        <v>136.63727705898435</v>
      </c>
    </row>
    <row r="7" spans="1:11" x14ac:dyDescent="0.25">
      <c r="A7" t="s">
        <v>16</v>
      </c>
      <c r="B7" t="s">
        <v>9</v>
      </c>
      <c r="C7">
        <v>2</v>
      </c>
      <c r="D7" t="s">
        <v>19</v>
      </c>
      <c r="E7" t="s">
        <v>20</v>
      </c>
      <c r="F7" s="1">
        <v>250</v>
      </c>
      <c r="G7">
        <f t="shared" si="0"/>
        <v>8.6666666666666412</v>
      </c>
      <c r="H7">
        <f t="shared" si="1"/>
        <v>1.6592592592592559</v>
      </c>
      <c r="I7">
        <f t="shared" si="2"/>
        <v>22.013333333333268</v>
      </c>
      <c r="J7">
        <f t="shared" si="3"/>
        <v>4.2145185185185099</v>
      </c>
      <c r="K7" s="2">
        <f t="shared" si="4"/>
        <v>92.77560098765386</v>
      </c>
    </row>
    <row r="8" spans="1:11" x14ac:dyDescent="0.25">
      <c r="A8" t="s">
        <v>16</v>
      </c>
      <c r="B8" t="s">
        <v>11</v>
      </c>
      <c r="C8">
        <v>3</v>
      </c>
      <c r="D8" t="s">
        <v>21</v>
      </c>
      <c r="E8" t="s">
        <v>22</v>
      </c>
      <c r="F8" s="1">
        <v>250</v>
      </c>
      <c r="G8">
        <f t="shared" si="0"/>
        <v>8.8296296296296006</v>
      </c>
      <c r="H8">
        <f t="shared" si="1"/>
        <v>1.9703703703703679</v>
      </c>
      <c r="I8">
        <f t="shared" si="2"/>
        <v>22.427259259259184</v>
      </c>
      <c r="J8">
        <f t="shared" si="3"/>
        <v>5.0047407407407345</v>
      </c>
      <c r="K8" s="2">
        <f t="shared" si="4"/>
        <v>112.2426181179693</v>
      </c>
    </row>
    <row r="9" spans="1:11" x14ac:dyDescent="0.25">
      <c r="A9" t="s">
        <v>16</v>
      </c>
      <c r="B9" t="s">
        <v>14</v>
      </c>
      <c r="C9">
        <v>4</v>
      </c>
      <c r="D9" t="s">
        <v>23</v>
      </c>
      <c r="E9" t="s">
        <v>24</v>
      </c>
      <c r="F9" s="1">
        <v>250</v>
      </c>
      <c r="G9">
        <f t="shared" si="0"/>
        <v>8.2518518518518391</v>
      </c>
      <c r="H9">
        <f t="shared" si="1"/>
        <v>1.6444444444444399</v>
      </c>
      <c r="I9">
        <f t="shared" si="2"/>
        <v>20.959703703703671</v>
      </c>
      <c r="J9">
        <f t="shared" si="3"/>
        <v>4.1768888888888771</v>
      </c>
      <c r="K9" s="2">
        <f t="shared" si="4"/>
        <v>87.546353514402909</v>
      </c>
    </row>
    <row r="10" spans="1:11" x14ac:dyDescent="0.25">
      <c r="A10" t="s">
        <v>25</v>
      </c>
      <c r="B10" t="s">
        <v>6</v>
      </c>
      <c r="C10">
        <v>1</v>
      </c>
      <c r="D10" t="s">
        <v>26</v>
      </c>
      <c r="E10" t="s">
        <v>27</v>
      </c>
      <c r="F10" s="1">
        <v>217</v>
      </c>
      <c r="G10">
        <f t="shared" si="0"/>
        <v>10.308926437958664</v>
      </c>
      <c r="H10">
        <f t="shared" si="1"/>
        <v>3.0039255845707422</v>
      </c>
      <c r="I10">
        <f t="shared" si="2"/>
        <v>26.184673152415009</v>
      </c>
      <c r="J10">
        <f t="shared" si="3"/>
        <v>7.6299709848096855</v>
      </c>
      <c r="K10" s="2">
        <f t="shared" si="4"/>
        <v>199.78829639965167</v>
      </c>
    </row>
    <row r="11" spans="1:11" x14ac:dyDescent="0.25">
      <c r="A11" t="s">
        <v>25</v>
      </c>
      <c r="B11" t="s">
        <v>9</v>
      </c>
      <c r="C11">
        <v>2</v>
      </c>
      <c r="D11" t="s">
        <v>28</v>
      </c>
      <c r="E11" t="s">
        <v>29</v>
      </c>
      <c r="F11" s="1">
        <v>217</v>
      </c>
      <c r="G11">
        <f t="shared" si="0"/>
        <v>10.377197473971659</v>
      </c>
      <c r="H11">
        <f t="shared" si="1"/>
        <v>3.9767878477555856</v>
      </c>
      <c r="I11">
        <f t="shared" si="2"/>
        <v>26.358081583888016</v>
      </c>
      <c r="J11">
        <f t="shared" si="3"/>
        <v>10.101041133299187</v>
      </c>
      <c r="K11" s="2">
        <f t="shared" si="4"/>
        <v>266.24406627370865</v>
      </c>
    </row>
    <row r="12" spans="1:11" x14ac:dyDescent="0.25">
      <c r="A12" t="s">
        <v>25</v>
      </c>
      <c r="B12" t="s">
        <v>11</v>
      </c>
      <c r="C12">
        <v>3</v>
      </c>
      <c r="D12" t="s">
        <v>30</v>
      </c>
      <c r="E12" t="s">
        <v>31</v>
      </c>
      <c r="F12" s="1">
        <v>217</v>
      </c>
      <c r="G12">
        <f t="shared" si="0"/>
        <v>10.087045570916498</v>
      </c>
      <c r="H12">
        <f t="shared" si="1"/>
        <v>3.498890595664788</v>
      </c>
      <c r="I12">
        <f t="shared" si="2"/>
        <v>25.621095750127903</v>
      </c>
      <c r="J12">
        <f t="shared" si="3"/>
        <v>8.8871821129885618</v>
      </c>
      <c r="K12" s="2">
        <f t="shared" si="4"/>
        <v>227.69934386570395</v>
      </c>
    </row>
    <row r="13" spans="1:11" x14ac:dyDescent="0.25">
      <c r="A13" t="s">
        <v>25</v>
      </c>
      <c r="B13" t="s">
        <v>14</v>
      </c>
      <c r="C13">
        <v>4</v>
      </c>
      <c r="D13" t="s">
        <v>32</v>
      </c>
      <c r="E13" t="s">
        <v>33</v>
      </c>
      <c r="F13" s="1">
        <v>217</v>
      </c>
      <c r="G13">
        <f t="shared" si="0"/>
        <v>9.8993002218808304</v>
      </c>
      <c r="H13">
        <f t="shared" si="1"/>
        <v>3.4647550776582996</v>
      </c>
      <c r="I13">
        <f t="shared" si="2"/>
        <v>25.144222563577308</v>
      </c>
      <c r="J13">
        <f t="shared" si="3"/>
        <v>8.8004778972520814</v>
      </c>
      <c r="K13" s="2">
        <f t="shared" si="4"/>
        <v>221.28117491434918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Abdullah Bari</dc:creator>
  <cp:lastModifiedBy>Abdullah Bari</cp:lastModifiedBy>
  <dcterms:created xsi:type="dcterms:W3CDTF">2015-06-05T18:17:20Z</dcterms:created>
  <dcterms:modified xsi:type="dcterms:W3CDTF">2025-12-09T19:51:37Z</dcterms:modified>
</cp:coreProperties>
</file>